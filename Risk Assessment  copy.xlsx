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daniellaabamu/Documents/KIDS 24-25/Information Governance/Assignment/Business Report/"/>
    </mc:Choice>
  </mc:AlternateContent>
  <xr:revisionPtr revIDLastSave="0" documentId="8_{FB48DB45-1231-9D49-A2B4-93F9C000BD9D}" xr6:coauthVersionLast="47" xr6:coauthVersionMax="47" xr10:uidLastSave="{00000000-0000-0000-0000-000000000000}"/>
  <bookViews>
    <workbookView xWindow="0" yWindow="500" windowWidth="28800" windowHeight="17500" activeTab="4" xr2:uid="{A4434CC6-AB07-4D42-9AB4-8E00058A0901}"/>
  </bookViews>
  <sheets>
    <sheet name="Process Matrix" sheetId="8" r:id="rId1"/>
    <sheet name="Information Asset Register" sheetId="2" r:id="rId2"/>
    <sheet name="Impact Analysis" sheetId="4" r:id="rId3"/>
    <sheet name="Likelihood" sheetId="5" r:id="rId4"/>
    <sheet name="Information Risk Register" sheetId="1" r:id="rId5"/>
    <sheet name="Risk Key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Q6" i="1"/>
  <c r="L6" i="1"/>
  <c r="L7" i="1"/>
  <c r="L5" i="1"/>
  <c r="L3" i="1"/>
  <c r="G15" i="3"/>
  <c r="G14" i="3"/>
  <c r="G13" i="3"/>
  <c r="G12" i="3"/>
  <c r="F15" i="3"/>
  <c r="F14" i="3"/>
  <c r="F13" i="3"/>
  <c r="F12" i="3"/>
  <c r="E15" i="3"/>
  <c r="E14" i="3"/>
  <c r="E13" i="3"/>
  <c r="E12" i="3"/>
  <c r="D15" i="3"/>
  <c r="D14" i="3"/>
  <c r="D13" i="3"/>
  <c r="C13" i="3"/>
  <c r="C14" i="3"/>
  <c r="C15" i="3"/>
  <c r="E11" i="3"/>
  <c r="F11" i="3"/>
  <c r="G11" i="3"/>
  <c r="D12" i="3"/>
  <c r="D11" i="3"/>
  <c r="C12" i="3"/>
  <c r="C11" i="3"/>
</calcChain>
</file>

<file path=xl/sharedStrings.xml><?xml version="1.0" encoding="utf-8"?>
<sst xmlns="http://schemas.openxmlformats.org/spreadsheetml/2006/main" count="262" uniqueCount="184">
  <si>
    <t>Threat</t>
  </si>
  <si>
    <t>C</t>
  </si>
  <si>
    <t>A</t>
  </si>
  <si>
    <t>Uncontrolled Risk Level</t>
  </si>
  <si>
    <t>Controlled Risk Level</t>
  </si>
  <si>
    <t>Risk Controls</t>
  </si>
  <si>
    <t>Owner</t>
  </si>
  <si>
    <t>Review Date</t>
  </si>
  <si>
    <t xml:space="preserve">Impact </t>
  </si>
  <si>
    <t xml:space="preserve">Likelihood </t>
  </si>
  <si>
    <t xml:space="preserve">Asset Name </t>
  </si>
  <si>
    <t>Evaluation</t>
  </si>
  <si>
    <t>Description (Vulnerability)</t>
  </si>
  <si>
    <t>Asset ID</t>
  </si>
  <si>
    <t>(CIA)</t>
  </si>
  <si>
    <t xml:space="preserve"> Add Statement of applicability control IDs</t>
  </si>
  <si>
    <t>Format</t>
  </si>
  <si>
    <t>Location</t>
  </si>
  <si>
    <t>Escalation to central risk register and board</t>
  </si>
  <si>
    <t>Risk Owner</t>
  </si>
  <si>
    <t>Asset Owner</t>
  </si>
  <si>
    <t>Value/Impact</t>
  </si>
  <si>
    <t>Risk Score</t>
  </si>
  <si>
    <t>Value/ Impact</t>
  </si>
  <si>
    <t>Likelihood</t>
  </si>
  <si>
    <t xml:space="preserve">Risk Exposure </t>
  </si>
  <si>
    <t>Asset Name (Information Asset)</t>
  </si>
  <si>
    <t>IMPACT</t>
  </si>
  <si>
    <t>Very High (5)</t>
  </si>
  <si>
    <t>High (4)</t>
  </si>
  <si>
    <t>Medium (3)</t>
  </si>
  <si>
    <t>Low (2)</t>
  </si>
  <si>
    <t>Very Low (1)</t>
  </si>
  <si>
    <t>Financial</t>
  </si>
  <si>
    <t>&gt;500K</t>
  </si>
  <si>
    <t>£100 - £500K</t>
  </si>
  <si>
    <t>£50 - £100K</t>
  </si>
  <si>
    <t>£25 - £50K</t>
  </si>
  <si>
    <t>&lt;£25K</t>
  </si>
  <si>
    <t>Operational</t>
  </si>
  <si>
    <t>Cancellation</t>
  </si>
  <si>
    <t>Severe Distruption</t>
  </si>
  <si>
    <t>Significant distruption</t>
  </si>
  <si>
    <t>Requires corrective action</t>
  </si>
  <si>
    <t>Requires noting</t>
  </si>
  <si>
    <t>Definte</t>
  </si>
  <si>
    <t>Probable</t>
  </si>
  <si>
    <t>Possible</t>
  </si>
  <si>
    <t>Unlikely</t>
  </si>
  <si>
    <t xml:space="preserve">Extremely Unlikely </t>
  </si>
  <si>
    <t>Cloud Storage Server (UK-based)</t>
  </si>
  <si>
    <t>Mobile Onboarding Application</t>
  </si>
  <si>
    <t>Patient Health Data</t>
  </si>
  <si>
    <t>Consent Records (e.g., Digital Signatures)</t>
  </si>
  <si>
    <t>Regional Programme Manager</t>
  </si>
  <si>
    <t>IT Department (UK-based)</t>
  </si>
  <si>
    <t>Product/ Technolgy Lead</t>
  </si>
  <si>
    <t>Health Programme Lead</t>
  </si>
  <si>
    <t>Compliance Officer</t>
  </si>
  <si>
    <t xml:space="preserve">People </t>
  </si>
  <si>
    <t>Digital/ Infrastructure</t>
  </si>
  <si>
    <t>Software</t>
  </si>
  <si>
    <t>Digital (text/ data files)</t>
  </si>
  <si>
    <t>Digital  (documents/ logs)</t>
  </si>
  <si>
    <t>Encrypted database in cloud system</t>
  </si>
  <si>
    <t xml:space="preserve">Very Likely </t>
  </si>
  <si>
    <t>Likely</t>
  </si>
  <si>
    <t>Very Unlikely</t>
  </si>
  <si>
    <t>Negligible</t>
  </si>
  <si>
    <t>Minor</t>
  </si>
  <si>
    <t>Moderate</t>
  </si>
  <si>
    <t>Significant</t>
  </si>
  <si>
    <t>Severe</t>
  </si>
  <si>
    <t>Impact</t>
  </si>
  <si>
    <t>Low Med</t>
  </si>
  <si>
    <t>Low</t>
  </si>
  <si>
    <t xml:space="preserve">Low </t>
  </si>
  <si>
    <t>Medium</t>
  </si>
  <si>
    <t>Med Hi</t>
  </si>
  <si>
    <t>High</t>
  </si>
  <si>
    <t>Risk Appetite</t>
  </si>
  <si>
    <t>Outreach Staff</t>
  </si>
  <si>
    <t xml:space="preserve">Cloud Storage Server (UK-based) </t>
  </si>
  <si>
    <t>Human error or misuse.</t>
  </si>
  <si>
    <t>Lack of security training, unmonitored device use, inconsistent policy enforcement.</t>
  </si>
  <si>
    <t xml:space="preserve">Within appetite (≤15); may be tolerated but requires monitoring due to field variability and human error risk. </t>
  </si>
  <si>
    <t xml:space="preserve">n/a </t>
  </si>
  <si>
    <t>Cyberattacks (e.g. ransomware), misconfiguration, downtime.</t>
  </si>
  <si>
    <t>Inadequate encryption, insufficient access controls, third-party dependency.</t>
  </si>
  <si>
    <t>Within appetite (≤15); accepted due to strong security controls and low likelihood of failure.</t>
  </si>
  <si>
    <t>IT Manager</t>
  </si>
  <si>
    <t>No</t>
  </si>
  <si>
    <t xml:space="preserve">No </t>
  </si>
  <si>
    <t xml:space="preserve">Mobile Onboarding Application </t>
  </si>
  <si>
    <t>Software failure, malicious code injection, device theft.</t>
  </si>
  <si>
    <t>Product / Technology Lead</t>
  </si>
  <si>
    <t xml:space="preserve">Mobile devices used for patients </t>
  </si>
  <si>
    <t>4 - Misuse could cause severe operational disruption.</t>
  </si>
  <si>
    <t>Field locations across Colombia.</t>
  </si>
  <si>
    <t>UK-based Cloud Server (ecrypted).</t>
  </si>
  <si>
    <t>5 - A breach or misconfiguration could compromise the entire system’s availability and data integrity.</t>
  </si>
  <si>
    <t>Use of outdated app versions, missing security patches, weak user authentication.</t>
  </si>
  <si>
    <t>Within appetite (≤15); may be tolerated but should undergo periodic reviews for update and stability risks.</t>
  </si>
  <si>
    <t>Compliance Lead</t>
  </si>
  <si>
    <t xml:space="preserve">Digiital </t>
  </si>
  <si>
    <t>5 - A data breach could lead to regulatory penalties and reputational consequences</t>
  </si>
  <si>
    <t>Breach or unauthorised access, corruption/loss.</t>
  </si>
  <si>
    <t>Insufficient data minimisation, inadequate backup protocols, poorly defined access controls</t>
  </si>
  <si>
    <t xml:space="preserve">Exceed appetite( &gt;15); Mitigation or treatment needed due to high sensitivity and regulatory impact.  </t>
  </si>
  <si>
    <t xml:space="preserve">Yes </t>
  </si>
  <si>
    <t>C, I</t>
  </si>
  <si>
    <t>Legal non-compliance, missing/invalid consent logs.</t>
  </si>
  <si>
    <t>Digital</t>
  </si>
  <si>
    <t>Within appetite (≤15); may be tolerated but with regular review on consent tracking and log reliability to ensure compliance.</t>
  </si>
  <si>
    <t xml:space="preserve">Unreliable synchronisation of consent records between the app and cloud server, missing audit trails, invalid consent logging during data entry. </t>
  </si>
  <si>
    <t xml:space="preserve">4 - Missing consent invalidates lawful data use </t>
  </si>
  <si>
    <t xml:space="preserve">Explanation </t>
  </si>
  <si>
    <t xml:space="preserve">Within appetite (≤15); may be tolerated but requires monitoring due to field variability and human error risk.  </t>
  </si>
  <si>
    <t xml:space="preserve">Exceed appetite (&gt;15); Mitigation or treatment needed due to high sensitivity and regulatory impact.  </t>
  </si>
  <si>
    <t xml:space="preserve">A.5.1.1 , A.9.2.1 , A.10.1.1 , A.12.4.1 </t>
  </si>
  <si>
    <t>A.7.2.2, A.8.2.1, A.9.2.5, A.9.4.1, A.12.4.1, A.18.1.4</t>
  </si>
  <si>
    <t xml:space="preserve">Step </t>
  </si>
  <si>
    <t xml:space="preserve">Action </t>
  </si>
  <si>
    <t xml:space="preserve">Input condition </t>
  </si>
  <si>
    <t>Decision Rule</t>
  </si>
  <si>
    <t>Output</t>
  </si>
  <si>
    <t>Next Step</t>
  </si>
  <si>
    <t>Intial Engagement.</t>
  </si>
  <si>
    <t>Healthworker present with mobile device.</t>
  </si>
  <si>
    <t>IF device launches successfully, THEN proceed.</t>
  </si>
  <si>
    <t>App ready.</t>
  </si>
  <si>
    <t>Step 2</t>
  </si>
  <si>
    <t>Register patient in app.</t>
  </si>
  <si>
    <t>Internet acess OR local offline storage.</t>
  </si>
  <si>
    <t>IF NO network, store locally and retry in 24 hours.</t>
  </si>
  <si>
    <t>Patient record initiated.</t>
  </si>
  <si>
    <t>Step 3</t>
  </si>
  <si>
    <t>Patient Identification &amp; Demographics.</t>
  </si>
  <si>
    <t>Patient willing to participate.</t>
  </si>
  <si>
    <t>IF NO patient ID, THEN proceed with basic demographic entry.</t>
  </si>
  <si>
    <t>Patient demographic data (eg., Name, age, location),  national ID (if applicable), pregnancy status confirmation uploaded.</t>
  </si>
  <si>
    <t>Step 4</t>
  </si>
  <si>
    <t>Digital Consent Collection</t>
  </si>
  <si>
    <t>Patient literate or assisted (Privacy and data usage policy explained in patient’s language).</t>
  </si>
  <si>
    <t>IF NO consent, THEN stop process.</t>
  </si>
  <si>
    <t>Consent record ( via digital signature or checkbox).</t>
  </si>
  <si>
    <t>Step 5 or Exit</t>
  </si>
  <si>
    <t>Health Data Entry</t>
  </si>
  <si>
    <t>Consent given, health data  available.</t>
  </si>
  <si>
    <t>IF incomplete data, THEN prompt for retry.</t>
  </si>
  <si>
    <t>Key health metrics entered (e.g., BP, weight, symptions).</t>
  </si>
  <si>
    <t>Step 6</t>
  </si>
  <si>
    <t>Triage and Alert Trigger</t>
  </si>
  <si>
    <t>Health data entered.</t>
  </si>
  <si>
    <t>IF risk score ≥ threshold, THEN flag case.</t>
  </si>
  <si>
    <t>Risk score and alert flag.</t>
  </si>
  <si>
    <t>Step 7</t>
  </si>
  <si>
    <t>Care Plan Configuration</t>
  </si>
  <si>
    <t>Risk score available.</t>
  </si>
  <si>
    <t xml:space="preserve">IF flagged high-risk, THEN enable daily monitoring. </t>
  </si>
  <si>
    <t xml:space="preserve">Personalised care plan (automatic scheduling of messages/ reminders via SMS or push notifications).  </t>
  </si>
  <si>
    <t>Step 8</t>
  </si>
  <si>
    <t xml:space="preserve">Data Synchronisation </t>
  </si>
  <si>
    <t>Device online or offline.</t>
  </si>
  <si>
    <t>IF offline, THEN store locally; IF online, THEN upload data.</t>
  </si>
  <si>
    <t>Encrypted uplood to UK-based server with confirmation recipt logged.</t>
  </si>
  <si>
    <t>Step 9 or retry</t>
  </si>
  <si>
    <t>Patient Record Completed</t>
  </si>
  <si>
    <t>Data sync confirmed.</t>
  </si>
  <si>
    <t>All records valid and care plan active THEN end onboarding.</t>
  </si>
  <si>
    <t>Full digital patient record (Digital file generated, Risk classification completed, Care plan activated in dashboard).</t>
  </si>
  <si>
    <t>End</t>
  </si>
  <si>
    <t xml:space="preserve">Rating </t>
  </si>
  <si>
    <t>3 - Outreach Staff operate in uncontrolled environments, increasing the likelihood of human error or improper use.</t>
  </si>
  <si>
    <t>2 - Cloud infrastructure in managed professionally with high security standards.</t>
  </si>
  <si>
    <t>UK-based Cloud Server (encrypted).</t>
  </si>
  <si>
    <t>Mobile devices used by patients.</t>
  </si>
  <si>
    <t>Encrypted database in cloud system.</t>
  </si>
  <si>
    <t>4 - Failure disrupts registration and triage processes.</t>
  </si>
  <si>
    <t>5 - A data breach could lead to regulatory penalties and reputational consequences.</t>
  </si>
  <si>
    <t>4 - Missing consent invalidates lawful data use .</t>
  </si>
  <si>
    <t>4 - Health data is frequently accessed and highly sensitive.</t>
  </si>
  <si>
    <t>3 - Issues may occur during consent collection or data synchronization, particularly in areas with limited network access.</t>
  </si>
  <si>
    <t>3 - App failures or outdated software may occur in the field due to limited connectivity and update access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</si>
</sst>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" fillId="0" borderId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top" wrapText="1"/>
    </xf>
    <xf numFmtId="0" fontId="20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 vertical="top"/>
    </xf>
    <xf numFmtId="0" fontId="0" fillId="27" borderId="10" xfId="0" applyFill="1" applyBorder="1" applyAlignment="1">
      <alignment horizontal="center" vertical="top"/>
    </xf>
    <xf numFmtId="0" fontId="0" fillId="28" borderId="10" xfId="0" applyFill="1" applyBorder="1" applyAlignment="1">
      <alignment horizontal="center" vertical="top"/>
    </xf>
    <xf numFmtId="0" fontId="0" fillId="29" borderId="10" xfId="0" applyFill="1" applyBorder="1" applyAlignment="1">
      <alignment horizontal="center" vertical="top"/>
    </xf>
    <xf numFmtId="0" fontId="0" fillId="24" borderId="10" xfId="0" applyFill="1" applyBorder="1" applyAlignment="1">
      <alignment horizontal="center" vertical="top"/>
    </xf>
    <xf numFmtId="0" fontId="0" fillId="30" borderId="10" xfId="0" applyFill="1" applyBorder="1" applyAlignment="1">
      <alignment horizontal="center" vertical="top"/>
    </xf>
    <xf numFmtId="0" fontId="0" fillId="32" borderId="0" xfId="0" applyFill="1"/>
    <xf numFmtId="0" fontId="19" fillId="0" borderId="10" xfId="0" applyFont="1" applyBorder="1" applyAlignment="1">
      <alignment wrapText="1"/>
    </xf>
    <xf numFmtId="0" fontId="0" fillId="0" borderId="10" xfId="0" applyBorder="1" applyAlignment="1">
      <alignment horizontal="center" vertical="center"/>
    </xf>
    <xf numFmtId="0" fontId="19" fillId="0" borderId="15" xfId="0" applyFont="1" applyBorder="1" applyAlignment="1">
      <alignment vertical="top" wrapText="1"/>
    </xf>
    <xf numFmtId="0" fontId="19" fillId="25" borderId="16" xfId="0" applyFont="1" applyFill="1" applyBorder="1" applyAlignment="1">
      <alignment vertical="top" wrapText="1"/>
    </xf>
    <xf numFmtId="0" fontId="19" fillId="25" borderId="16" xfId="0" applyFont="1" applyFill="1" applyBorder="1" applyAlignment="1">
      <alignment horizontal="center" vertical="top" wrapText="1"/>
    </xf>
    <xf numFmtId="0" fontId="19" fillId="25" borderId="20" xfId="0" applyFont="1" applyFill="1" applyBorder="1" applyAlignment="1">
      <alignment vertical="top" wrapText="1"/>
    </xf>
    <xf numFmtId="0" fontId="20" fillId="0" borderId="21" xfId="0" applyFont="1" applyBorder="1" applyAlignment="1">
      <alignment vertical="top" wrapText="1"/>
    </xf>
    <xf numFmtId="0" fontId="20" fillId="0" borderId="22" xfId="0" applyFont="1" applyBorder="1" applyAlignment="1">
      <alignment vertical="top" wrapText="1"/>
    </xf>
    <xf numFmtId="0" fontId="21" fillId="0" borderId="22" xfId="0" applyFont="1" applyBorder="1" applyAlignment="1">
      <alignment horizontal="center" vertical="top" wrapText="1"/>
    </xf>
    <xf numFmtId="0" fontId="20" fillId="0" borderId="23" xfId="0" applyFont="1" applyBorder="1" applyAlignment="1">
      <alignment vertical="top" wrapText="1"/>
    </xf>
    <xf numFmtId="0" fontId="22" fillId="29" borderId="24" xfId="0" applyFont="1" applyFill="1" applyBorder="1" applyAlignment="1">
      <alignment vertical="top" wrapText="1"/>
    </xf>
    <xf numFmtId="0" fontId="22" fillId="0" borderId="24" xfId="0" applyFont="1" applyBorder="1" applyAlignment="1">
      <alignment vertical="top" wrapText="1"/>
    </xf>
    <xf numFmtId="0" fontId="22" fillId="25" borderId="16" xfId="0" applyFont="1" applyFill="1" applyBorder="1" applyAlignment="1">
      <alignment horizontal="left" vertical="top" wrapText="1"/>
    </xf>
    <xf numFmtId="0" fontId="22" fillId="25" borderId="16" xfId="0" applyFont="1" applyFill="1" applyBorder="1" applyAlignment="1">
      <alignment vertical="top" wrapText="1"/>
    </xf>
    <xf numFmtId="0" fontId="22" fillId="29" borderId="16" xfId="0" applyFont="1" applyFill="1" applyBorder="1" applyAlignment="1">
      <alignment vertical="top" wrapText="1"/>
    </xf>
    <xf numFmtId="0" fontId="22" fillId="25" borderId="20" xfId="0" applyFont="1" applyFill="1" applyBorder="1" applyAlignment="1">
      <alignment vertical="top" wrapText="1"/>
    </xf>
    <xf numFmtId="0" fontId="22" fillId="0" borderId="16" xfId="0" applyFont="1" applyBorder="1" applyAlignment="1">
      <alignment horizontal="left" vertical="top" wrapText="1"/>
    </xf>
    <xf numFmtId="0" fontId="22" fillId="0" borderId="16" xfId="0" applyFont="1" applyBorder="1" applyAlignment="1">
      <alignment vertical="top" wrapText="1"/>
    </xf>
    <xf numFmtId="0" fontId="22" fillId="0" borderId="20" xfId="0" applyFont="1" applyBorder="1" applyAlignment="1">
      <alignment vertical="top" wrapText="1"/>
    </xf>
    <xf numFmtId="0" fontId="22" fillId="0" borderId="26" xfId="0" applyFont="1" applyBorder="1" applyAlignment="1">
      <alignment horizontal="center" vertical="top" wrapText="1"/>
    </xf>
    <xf numFmtId="0" fontId="22" fillId="0" borderId="24" xfId="0" applyFont="1" applyBorder="1" applyAlignment="1">
      <alignment horizontal="center" vertical="top" wrapText="1"/>
    </xf>
    <xf numFmtId="0" fontId="22" fillId="0" borderId="24" xfId="0" applyFont="1" applyBorder="1" applyAlignment="1">
      <alignment horizontal="left" vertical="top" wrapText="1"/>
    </xf>
    <xf numFmtId="0" fontId="22" fillId="0" borderId="27" xfId="0" applyFont="1" applyBorder="1" applyAlignment="1">
      <alignment vertical="top" wrapText="1"/>
    </xf>
    <xf numFmtId="0" fontId="23" fillId="30" borderId="24" xfId="0" applyFont="1" applyFill="1" applyBorder="1" applyAlignment="1">
      <alignment vertical="top" wrapText="1"/>
    </xf>
    <xf numFmtId="0" fontId="23" fillId="30" borderId="16" xfId="0" applyFont="1" applyFill="1" applyBorder="1" applyAlignment="1">
      <alignment vertical="top" wrapText="1"/>
    </xf>
    <xf numFmtId="0" fontId="19" fillId="26" borderId="11" xfId="0" applyFont="1" applyFill="1" applyBorder="1" applyAlignment="1">
      <alignment vertical="top" wrapText="1"/>
    </xf>
    <xf numFmtId="0" fontId="19" fillId="26" borderId="14" xfId="0" applyFont="1" applyFill="1" applyBorder="1" applyAlignment="1">
      <alignment vertical="top" wrapText="1"/>
    </xf>
    <xf numFmtId="0" fontId="19" fillId="26" borderId="12" xfId="0" applyFont="1" applyFill="1" applyBorder="1" applyAlignment="1">
      <alignment vertical="top" wrapText="1"/>
    </xf>
    <xf numFmtId="0" fontId="0" fillId="0" borderId="28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4" fillId="0" borderId="10" xfId="0" applyFont="1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24" fillId="0" borderId="13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19" fillId="26" borderId="22" xfId="0" applyFont="1" applyFill="1" applyBorder="1" applyAlignment="1">
      <alignment vertical="top" wrapText="1"/>
    </xf>
    <xf numFmtId="0" fontId="22" fillId="25" borderId="15" xfId="0" applyFont="1" applyFill="1" applyBorder="1" applyAlignment="1">
      <alignment horizontal="center" vertical="top" wrapText="1"/>
    </xf>
    <xf numFmtId="0" fontId="22" fillId="0" borderId="15" xfId="0" applyFont="1" applyBorder="1" applyAlignment="1">
      <alignment horizontal="center" vertical="top" wrapText="1"/>
    </xf>
    <xf numFmtId="0" fontId="22" fillId="25" borderId="25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31" borderId="0" xfId="0" applyFill="1"/>
    <xf numFmtId="0" fontId="0" fillId="0" borderId="0" xfId="0" applyAlignment="1">
      <alignment horizontal="center" vertical="top" wrapText="1"/>
    </xf>
    <xf numFmtId="0" fontId="19" fillId="25" borderId="16" xfId="0" applyFont="1" applyFill="1" applyBorder="1" applyAlignment="1">
      <alignment horizontal="center" vertical="top" wrapText="1"/>
    </xf>
    <xf numFmtId="0" fontId="19" fillId="25" borderId="17" xfId="0" applyFont="1" applyFill="1" applyBorder="1" applyAlignment="1">
      <alignment horizontal="center" vertical="top" wrapText="1"/>
    </xf>
    <xf numFmtId="0" fontId="19" fillId="25" borderId="18" xfId="0" applyFont="1" applyFill="1" applyBorder="1" applyAlignment="1">
      <alignment horizontal="center" vertical="top" wrapText="1"/>
    </xf>
    <xf numFmtId="0" fontId="19" fillId="25" borderId="19" xfId="0" applyFont="1" applyFill="1" applyBorder="1" applyAlignment="1">
      <alignment horizontal="center" vertical="top" wrapText="1"/>
    </xf>
    <xf numFmtId="0" fontId="19" fillId="25" borderId="10" xfId="0" applyFont="1" applyFill="1" applyBorder="1" applyAlignment="1">
      <alignment horizontal="center" vertical="top"/>
    </xf>
    <xf numFmtId="0" fontId="19" fillId="25" borderId="10" xfId="0" applyFont="1" applyFill="1" applyBorder="1" applyAlignment="1">
      <alignment horizontal="center" vertical="center"/>
    </xf>
  </cellXfs>
  <cellStyles count="43">
    <cellStyle name="20% - Accent1 2" xfId="1" xr:uid="{C27AEF34-69E0-8E47-A021-8CAB90FCD407}"/>
    <cellStyle name="20% - Accent2 2" xfId="2" xr:uid="{78BDBED0-0388-CF44-88BB-82F09C976386}"/>
    <cellStyle name="20% - Accent3 2" xfId="3" xr:uid="{63B8D481-6EEA-BB45-BC33-2B8DC3743DEC}"/>
    <cellStyle name="20% - Accent4 2" xfId="4" xr:uid="{0A6DFF23-8DC6-6E41-8F39-1C605C0BB13B}"/>
    <cellStyle name="20% - Accent5 2" xfId="5" xr:uid="{E2E3FF35-39B3-1345-8B49-48D0CCBC6311}"/>
    <cellStyle name="20% - Accent6 2" xfId="6" xr:uid="{FC8C6DEB-35BC-714D-A02F-F07E4A96EE2B}"/>
    <cellStyle name="40% - Accent1 2" xfId="7" xr:uid="{B176D26B-82FC-DF4E-A2CD-5F321866E0A6}"/>
    <cellStyle name="40% - Accent2 2" xfId="8" xr:uid="{34B758D5-E9C3-B64C-A4CE-CD354C7A72F8}"/>
    <cellStyle name="40% - Accent3 2" xfId="9" xr:uid="{5CD34A20-51A5-A84F-A4ED-F0AFD8A20FE5}"/>
    <cellStyle name="40% - Accent4 2" xfId="10" xr:uid="{CE4C5B1E-91A5-EF47-AE2F-721BB356D9CE}"/>
    <cellStyle name="40% - Accent5 2" xfId="11" xr:uid="{048F2EBD-F55A-B34A-A863-B38E6F3A8110}"/>
    <cellStyle name="40% - Accent6 2" xfId="12" xr:uid="{728CE4B8-3734-A04A-90E3-C6D24BE707E0}"/>
    <cellStyle name="60% - Accent1 2" xfId="13" xr:uid="{5E8F7F2B-FC02-5948-A393-B582D2E41361}"/>
    <cellStyle name="60% - Accent2 2" xfId="14" xr:uid="{66F4B6B9-527E-0F48-B1EF-F66049FE1D49}"/>
    <cellStyle name="60% - Accent3 2" xfId="15" xr:uid="{0948CE2F-90F5-EE47-82BF-EB4DC4CD3D47}"/>
    <cellStyle name="60% - Accent4 2" xfId="16" xr:uid="{FDF713FD-0DE8-9A49-A68C-CE266F241FAF}"/>
    <cellStyle name="60% - Accent5 2" xfId="17" xr:uid="{4CB8940D-13A6-544F-B077-8869E7E89DD3}"/>
    <cellStyle name="60% - Accent6 2" xfId="18" xr:uid="{B9931AEB-5737-5E42-9F9C-C2F23004425D}"/>
    <cellStyle name="Accent1 2" xfId="19" xr:uid="{E95BDDC4-B53F-CF40-B844-EFB03C9AA5B7}"/>
    <cellStyle name="Accent2 2" xfId="20" xr:uid="{AFA70E6A-46BC-1B43-B849-6065DBAE62FE}"/>
    <cellStyle name="Accent3 2" xfId="21" xr:uid="{DEDB80CE-5588-2443-ADDF-38FF36681EF3}"/>
    <cellStyle name="Accent4 2" xfId="22" xr:uid="{31D8CD0C-6AE7-214A-8061-3847ACCED184}"/>
    <cellStyle name="Accent5 2" xfId="23" xr:uid="{889147A5-AE53-2E4C-8E1F-AD781AB001B2}"/>
    <cellStyle name="Accent6 2" xfId="24" xr:uid="{E169C0DF-752A-D74C-949B-2CF9A42A3B9A}"/>
    <cellStyle name="Bad 2" xfId="25" xr:uid="{D4AC7A5C-67DD-0243-B3BC-4B121A938C06}"/>
    <cellStyle name="Calculation 2" xfId="26" xr:uid="{FCE882CD-8B06-3A42-AA06-21C42F62AE56}"/>
    <cellStyle name="Check Cell 2" xfId="27" xr:uid="{17BA3377-C532-8544-8872-0ECAC24C436A}"/>
    <cellStyle name="Explanatory Text 2" xfId="28" xr:uid="{AA7EEAA8-0666-7E45-B93C-E56D3F3F62D7}"/>
    <cellStyle name="Good 2" xfId="29" xr:uid="{7D09E24F-8451-7A47-BA13-BD25E9CF6E56}"/>
    <cellStyle name="Heading 1 2" xfId="30" xr:uid="{B722EC9F-207C-0E48-8EFE-554CEF2FC6F5}"/>
    <cellStyle name="Heading 2 2" xfId="31" xr:uid="{69257995-925C-114C-BB83-0E4B4703BC49}"/>
    <cellStyle name="Heading 3 2" xfId="32" xr:uid="{4DB8AFB4-BD3E-2B46-8D8E-62CCFA3E8FC9}"/>
    <cellStyle name="Heading 4 2" xfId="33" xr:uid="{8DDAFD71-3BC9-BF47-A36A-AA1D771C021B}"/>
    <cellStyle name="Input 2" xfId="34" xr:uid="{8CCF6B4F-3734-CC42-B1F3-A08CF607590A}"/>
    <cellStyle name="Linked Cell 2" xfId="35" xr:uid="{88147834-D997-EF4D-92B2-FD430572141A}"/>
    <cellStyle name="Neutral 2" xfId="36" xr:uid="{C9E7AF4F-7547-BD40-A205-62ECCB59D00D}"/>
    <cellStyle name="Normal" xfId="0" builtinId="0"/>
    <cellStyle name="Normal 2" xfId="37" xr:uid="{0D860EBE-1CFB-9A41-A14C-A5F641FCC193}"/>
    <cellStyle name="Note 2" xfId="38" xr:uid="{9EE69F4C-16B0-8D47-8969-D45C0C129A5C}"/>
    <cellStyle name="Output 2" xfId="39" xr:uid="{B92706F3-A6C8-2643-94ED-F61C414B71E1}"/>
    <cellStyle name="Title 2" xfId="40" xr:uid="{6B2DC6BF-4D43-8240-8121-7BF749490EFF}"/>
    <cellStyle name="Total 2" xfId="41" xr:uid="{BF412261-22C4-A149-A5E9-C34CBA0EED55}"/>
    <cellStyle name="Warning Text 2" xfId="42" xr:uid="{BF09FC07-582E-C041-9C3F-04377E7BAD38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8E12F4-938C-CF49-B552-13B997E5F286}" name="Process_Matrix" displayName="Process_Matrix" ref="A1:F10" insertRowShift="1" totalsRowShown="0" headerRowDxfId="32" dataDxfId="31">
  <autoFilter ref="A1:F10" xr:uid="{088E12F4-938C-CF49-B552-13B997E5F2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1365329-893B-5649-97DA-CA123AF0CD18}" name="Step " dataDxfId="30"/>
    <tableColumn id="2" xr3:uid="{F0F7CD57-D11B-974F-9B14-52004E1150C3}" name="Action " dataDxfId="29"/>
    <tableColumn id="3" xr3:uid="{27818433-6126-2A41-9268-1F505C2C3D8E}" name="Input condition " dataDxfId="28"/>
    <tableColumn id="4" xr3:uid="{381A8007-2562-974A-9FBF-8E2B63F40D50}" name="Decision Rule" dataDxfId="27"/>
    <tableColumn id="7" xr3:uid="{65492A50-077B-6B4B-B75D-081C639CAE27}" name="Output" dataDxfId="26"/>
    <tableColumn id="5" xr3:uid="{C207367D-C97C-1341-AFAA-616FDDD3F0A9}" name="Next Step" dataDxfId="25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A10C2D-D902-0C42-B0C0-E0ED78EF269B}" name="Table3" displayName="Table3" ref="A1:I6" totalsRowShown="0" headerRowDxfId="24" dataDxfId="22" headerRowBorderDxfId="23" tableBorderDxfId="21" totalsRowBorderDxfId="20">
  <autoFilter ref="A1:I6" xr:uid="{C9D0CD0F-05A7-D849-9E0C-5AC2E53080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100-000001000000}" name="Asset ID" dataDxfId="19"/>
    <tableColumn id="2" xr3:uid="{00000000-0010-0000-0100-000002000000}" name="Asset Name (Information Asset)" dataDxfId="18"/>
    <tableColumn id="3" xr3:uid="{00000000-0010-0000-0100-000003000000}" name="Owner" dataDxfId="17"/>
    <tableColumn id="4" xr3:uid="{00000000-0010-0000-0100-000004000000}" name="Format" dataDxfId="16"/>
    <tableColumn id="5" xr3:uid="{00000000-0010-0000-0100-000005000000}" name="Location" dataDxfId="15"/>
    <tableColumn id="10" xr3:uid="{608E7DB1-F07E-B444-A4B1-28B5B4220BFF}" name="Value/ Impact" dataDxfId="14"/>
    <tableColumn id="11" xr3:uid="{D9050FDD-8054-6D43-B4FC-70FDBA3A4A8E}" name="Likelihood" dataDxfId="13"/>
    <tableColumn id="8" xr3:uid="{00000000-0010-0000-0100-000008000000}" name="Risk Exposure " dataDxfId="12"/>
    <tableColumn id="9" xr3:uid="{96168DF6-144A-FE40-9EFD-B97BB7629022}" name="Explanation " dataDxfId="11"/>
  </tableColumns>
  <tableStyleInfo name="TableStyleLight15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C368F5-D8F1-974B-A1C6-23072A7D0C6D}" name="Table1" displayName="Table1" ref="A1:C6" totalsRowShown="0" headerRowDxfId="10" dataDxfId="9">
  <autoFilter ref="A1:C6" xr:uid="{99633739-89B2-6D45-9A14-BE2607031E86}">
    <filterColumn colId="0" hiddenButton="1"/>
    <filterColumn colId="1" hiddenButton="1"/>
    <filterColumn colId="2" hiddenButton="1"/>
  </autoFilter>
  <tableColumns count="3">
    <tableColumn id="1" xr3:uid="{00000000-0010-0000-0300-000001000000}" name="IMPACT" dataDxfId="8"/>
    <tableColumn id="2" xr3:uid="{00000000-0010-0000-0300-000002000000}" name="Financial" dataDxfId="7"/>
    <tableColumn id="3" xr3:uid="{00000000-0010-0000-0300-000003000000}" name="Operational" dataDxfId="6"/>
  </tableColumns>
  <tableStyleInfo name="TableStyleLight1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9AD7C9-89DE-D044-B50B-EEFCCF23C6FA}" name="Table2" displayName="Table2" ref="A1:B6" headerRowDxfId="5" dataDxfId="4">
  <autoFilter ref="A1:B6" xr:uid="{9D4C6503-B057-8444-B5EC-9748AC66273D}">
    <filterColumn colId="0" hiddenButton="1"/>
    <filterColumn colId="1" hiddenButton="1"/>
  </autoFilter>
  <tableColumns count="2">
    <tableColumn id="1" xr3:uid="{00000000-0010-0000-0500-000001000000}" name="Rating " totalsRowLabel="Total" dataDxfId="3" totalsRowDxfId="2"/>
    <tableColumn id="2" xr3:uid="{00000000-0010-0000-0500-000002000000}" name="Likelihood " totalsRowFunction="count" dataDxfId="1" totalsRow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2B4C-8558-934E-AB53-F34CAEBA7B3B}">
  <sheetPr codeName="Sheet1"/>
  <dimension ref="A1:F10"/>
  <sheetViews>
    <sheetView zoomScale="90" zoomScaleNormal="90" workbookViewId="0">
      <pane ySplit="1" topLeftCell="A2" activePane="bottomLeft" state="frozen"/>
      <selection pane="bottomLeft" activeCell="D16" sqref="D16"/>
    </sheetView>
  </sheetViews>
  <sheetFormatPr baseColWidth="10" defaultRowHeight="15" x14ac:dyDescent="0.2"/>
  <cols>
    <col min="1" max="1" width="8.83203125" customWidth="1"/>
    <col min="2" max="6" width="20.83203125" customWidth="1"/>
  </cols>
  <sheetData>
    <row r="1" spans="1:6" ht="16" x14ac:dyDescent="0.2">
      <c r="A1" s="52" t="s">
        <v>121</v>
      </c>
      <c r="B1" s="52" t="s">
        <v>122</v>
      </c>
      <c r="C1" s="52" t="s">
        <v>123</v>
      </c>
      <c r="D1" s="52" t="s">
        <v>124</v>
      </c>
      <c r="E1" s="52" t="s">
        <v>125</v>
      </c>
      <c r="F1" s="52" t="s">
        <v>126</v>
      </c>
    </row>
    <row r="2" spans="1:6" ht="48" x14ac:dyDescent="0.2">
      <c r="A2" s="54">
        <v>1</v>
      </c>
      <c r="B2" s="52" t="s">
        <v>127</v>
      </c>
      <c r="C2" s="52" t="s">
        <v>128</v>
      </c>
      <c r="D2" s="52" t="s">
        <v>129</v>
      </c>
      <c r="E2" s="52" t="s">
        <v>130</v>
      </c>
      <c r="F2" s="52" t="s">
        <v>131</v>
      </c>
    </row>
    <row r="3" spans="1:6" ht="48" x14ac:dyDescent="0.2">
      <c r="A3" s="54">
        <v>2</v>
      </c>
      <c r="B3" s="52" t="s">
        <v>132</v>
      </c>
      <c r="C3" s="52" t="s">
        <v>133</v>
      </c>
      <c r="D3" s="52" t="s">
        <v>134</v>
      </c>
      <c r="E3" s="52" t="s">
        <v>135</v>
      </c>
      <c r="F3" s="52" t="s">
        <v>136</v>
      </c>
    </row>
    <row r="4" spans="1:6" ht="80" x14ac:dyDescent="0.2">
      <c r="A4" s="54">
        <v>3</v>
      </c>
      <c r="B4" s="52" t="s">
        <v>137</v>
      </c>
      <c r="C4" s="52" t="s">
        <v>138</v>
      </c>
      <c r="D4" s="52" t="s">
        <v>139</v>
      </c>
      <c r="E4" s="52" t="s">
        <v>140</v>
      </c>
      <c r="F4" s="52" t="s">
        <v>141</v>
      </c>
    </row>
    <row r="5" spans="1:6" ht="64" x14ac:dyDescent="0.2">
      <c r="A5" s="54">
        <v>4</v>
      </c>
      <c r="B5" s="52" t="s">
        <v>142</v>
      </c>
      <c r="C5" s="52" t="s">
        <v>143</v>
      </c>
      <c r="D5" s="52" t="s">
        <v>144</v>
      </c>
      <c r="E5" s="52" t="s">
        <v>145</v>
      </c>
      <c r="F5" s="52" t="s">
        <v>146</v>
      </c>
    </row>
    <row r="6" spans="1:6" ht="48" x14ac:dyDescent="0.2">
      <c r="A6" s="54">
        <v>5</v>
      </c>
      <c r="B6" s="52" t="s">
        <v>147</v>
      </c>
      <c r="C6" s="52" t="s">
        <v>148</v>
      </c>
      <c r="D6" s="52" t="s">
        <v>149</v>
      </c>
      <c r="E6" s="52" t="s">
        <v>150</v>
      </c>
      <c r="F6" s="52" t="s">
        <v>151</v>
      </c>
    </row>
    <row r="7" spans="1:6" ht="32" x14ac:dyDescent="0.2">
      <c r="A7" s="54">
        <v>6</v>
      </c>
      <c r="B7" s="52" t="s">
        <v>152</v>
      </c>
      <c r="C7" s="52" t="s">
        <v>153</v>
      </c>
      <c r="D7" s="52" t="s">
        <v>154</v>
      </c>
      <c r="E7" s="52" t="s">
        <v>155</v>
      </c>
      <c r="F7" s="52" t="s">
        <v>156</v>
      </c>
    </row>
    <row r="8" spans="1:6" ht="80" x14ac:dyDescent="0.2">
      <c r="A8" s="54">
        <v>7</v>
      </c>
      <c r="B8" s="52" t="s">
        <v>157</v>
      </c>
      <c r="C8" s="52" t="s">
        <v>158</v>
      </c>
      <c r="D8" s="52" t="s">
        <v>159</v>
      </c>
      <c r="E8" s="52" t="s">
        <v>160</v>
      </c>
      <c r="F8" s="52" t="s">
        <v>161</v>
      </c>
    </row>
    <row r="9" spans="1:6" ht="64" x14ac:dyDescent="0.2">
      <c r="A9" s="54">
        <v>8</v>
      </c>
      <c r="B9" s="52" t="s">
        <v>162</v>
      </c>
      <c r="C9" s="52" t="s">
        <v>163</v>
      </c>
      <c r="D9" s="52" t="s">
        <v>164</v>
      </c>
      <c r="E9" s="52" t="s">
        <v>165</v>
      </c>
      <c r="F9" s="52" t="s">
        <v>166</v>
      </c>
    </row>
    <row r="10" spans="1:6" ht="80" x14ac:dyDescent="0.2">
      <c r="A10" s="54">
        <v>9</v>
      </c>
      <c r="B10" s="52" t="s">
        <v>167</v>
      </c>
      <c r="C10" s="52" t="s">
        <v>168</v>
      </c>
      <c r="D10" s="52" t="s">
        <v>169</v>
      </c>
      <c r="E10" s="52" t="s">
        <v>170</v>
      </c>
      <c r="F10" s="52" t="s">
        <v>171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2116-35F3-364B-A8D2-C5602088CFDD}">
  <sheetPr codeName="Sheet2"/>
  <dimension ref="A1:I7"/>
  <sheetViews>
    <sheetView zoomScale="110" zoomScaleNormal="110"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5" x14ac:dyDescent="0.2"/>
  <cols>
    <col min="1" max="1" width="9.83203125" bestFit="1" customWidth="1"/>
    <col min="2" max="2" width="26.83203125" customWidth="1"/>
    <col min="3" max="3" width="14.6640625" customWidth="1"/>
    <col min="4" max="4" width="11.5" customWidth="1"/>
    <col min="5" max="5" width="16.83203125" customWidth="1"/>
    <col min="6" max="6" width="19.5" customWidth="1"/>
    <col min="7" max="7" width="25.33203125" customWidth="1"/>
    <col min="8" max="8" width="14" bestFit="1" customWidth="1"/>
    <col min="9" max="9" width="17" customWidth="1"/>
  </cols>
  <sheetData>
    <row r="1" spans="1:9" ht="16" x14ac:dyDescent="0.2">
      <c r="A1" s="37" t="s">
        <v>13</v>
      </c>
      <c r="B1" s="38" t="s">
        <v>26</v>
      </c>
      <c r="C1" s="38" t="s">
        <v>6</v>
      </c>
      <c r="D1" s="38" t="s">
        <v>16</v>
      </c>
      <c r="E1" s="48" t="s">
        <v>17</v>
      </c>
      <c r="F1" s="48" t="s">
        <v>23</v>
      </c>
      <c r="G1" s="48" t="s">
        <v>24</v>
      </c>
      <c r="H1" s="48" t="s">
        <v>25</v>
      </c>
      <c r="I1" s="39" t="s">
        <v>116</v>
      </c>
    </row>
    <row r="2" spans="1:9" ht="112" x14ac:dyDescent="0.2">
      <c r="A2" s="40">
        <v>1</v>
      </c>
      <c r="B2" s="41" t="s">
        <v>81</v>
      </c>
      <c r="C2" s="41" t="s">
        <v>54</v>
      </c>
      <c r="D2" s="41" t="s">
        <v>59</v>
      </c>
      <c r="E2" s="41" t="s">
        <v>98</v>
      </c>
      <c r="F2" s="42" t="s">
        <v>97</v>
      </c>
      <c r="G2" s="42" t="s">
        <v>173</v>
      </c>
      <c r="H2" s="41">
        <v>12</v>
      </c>
      <c r="I2" s="43" t="s">
        <v>117</v>
      </c>
    </row>
    <row r="3" spans="1:9" ht="80" x14ac:dyDescent="0.2">
      <c r="A3" s="40">
        <v>2</v>
      </c>
      <c r="B3" s="42" t="s">
        <v>50</v>
      </c>
      <c r="C3" s="41" t="s">
        <v>55</v>
      </c>
      <c r="D3" s="41" t="s">
        <v>60</v>
      </c>
      <c r="E3" s="41" t="s">
        <v>175</v>
      </c>
      <c r="F3" s="42" t="s">
        <v>100</v>
      </c>
      <c r="G3" s="42" t="s">
        <v>174</v>
      </c>
      <c r="H3" s="41">
        <v>10</v>
      </c>
      <c r="I3" s="43" t="s">
        <v>89</v>
      </c>
    </row>
    <row r="4" spans="1:9" ht="127" customHeight="1" x14ac:dyDescent="0.2">
      <c r="A4" s="40">
        <v>3</v>
      </c>
      <c r="B4" s="42" t="s">
        <v>51</v>
      </c>
      <c r="C4" s="41" t="s">
        <v>56</v>
      </c>
      <c r="D4" s="41" t="s">
        <v>61</v>
      </c>
      <c r="E4" s="41" t="s">
        <v>176</v>
      </c>
      <c r="F4" s="41" t="s">
        <v>178</v>
      </c>
      <c r="G4" s="41" t="s">
        <v>183</v>
      </c>
      <c r="H4" s="41">
        <v>12</v>
      </c>
      <c r="I4" s="43" t="s">
        <v>102</v>
      </c>
    </row>
    <row r="5" spans="1:9" ht="96" x14ac:dyDescent="0.2">
      <c r="A5" s="40">
        <v>4</v>
      </c>
      <c r="B5" s="42" t="s">
        <v>52</v>
      </c>
      <c r="C5" s="41" t="s">
        <v>57</v>
      </c>
      <c r="D5" s="41" t="s">
        <v>62</v>
      </c>
      <c r="E5" s="41" t="s">
        <v>177</v>
      </c>
      <c r="F5" s="42" t="s">
        <v>179</v>
      </c>
      <c r="G5" s="42" t="s">
        <v>181</v>
      </c>
      <c r="H5" s="41">
        <v>20</v>
      </c>
      <c r="I5" s="43" t="s">
        <v>118</v>
      </c>
    </row>
    <row r="6" spans="1:9" ht="112" x14ac:dyDescent="0.2">
      <c r="A6" s="44">
        <v>5</v>
      </c>
      <c r="B6" s="45" t="s">
        <v>53</v>
      </c>
      <c r="C6" s="46" t="s">
        <v>58</v>
      </c>
      <c r="D6" s="46" t="s">
        <v>63</v>
      </c>
      <c r="E6" s="41" t="s">
        <v>177</v>
      </c>
      <c r="F6" s="42" t="s">
        <v>180</v>
      </c>
      <c r="G6" s="42" t="s">
        <v>182</v>
      </c>
      <c r="H6" s="41">
        <v>12</v>
      </c>
      <c r="I6" s="47" t="s">
        <v>113</v>
      </c>
    </row>
    <row r="7" spans="1:9" x14ac:dyDescent="0.2">
      <c r="D7" s="4"/>
    </row>
  </sheetData>
  <phoneticPr fontId="25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A592-6880-2549-B0CB-69217BC9E4C2}">
  <sheetPr codeName="Sheet3"/>
  <dimension ref="A1:C6"/>
  <sheetViews>
    <sheetView zoomScale="200" zoomScaleNormal="200" workbookViewId="0">
      <selection activeCell="D1" sqref="D1:D6"/>
    </sheetView>
  </sheetViews>
  <sheetFormatPr baseColWidth="10" defaultRowHeight="15" x14ac:dyDescent="0.2"/>
  <cols>
    <col min="3" max="3" width="20.83203125" customWidth="1"/>
    <col min="4" max="4" width="20" bestFit="1" customWidth="1"/>
  </cols>
  <sheetData>
    <row r="1" spans="1:3" x14ac:dyDescent="0.2">
      <c r="A1" s="11" t="s">
        <v>27</v>
      </c>
      <c r="B1" s="11" t="s">
        <v>33</v>
      </c>
      <c r="C1" s="11" t="s">
        <v>39</v>
      </c>
    </row>
    <row r="2" spans="1:3" x14ac:dyDescent="0.2">
      <c r="A2" t="s">
        <v>28</v>
      </c>
      <c r="B2" t="s">
        <v>34</v>
      </c>
      <c r="C2" t="s">
        <v>40</v>
      </c>
    </row>
    <row r="3" spans="1:3" x14ac:dyDescent="0.2">
      <c r="A3" t="s">
        <v>29</v>
      </c>
      <c r="B3" t="s">
        <v>35</v>
      </c>
      <c r="C3" t="s">
        <v>41</v>
      </c>
    </row>
    <row r="4" spans="1:3" x14ac:dyDescent="0.2">
      <c r="A4" t="s">
        <v>30</v>
      </c>
      <c r="B4" t="s">
        <v>36</v>
      </c>
      <c r="C4" t="s">
        <v>42</v>
      </c>
    </row>
    <row r="5" spans="1:3" x14ac:dyDescent="0.2">
      <c r="A5" t="s">
        <v>31</v>
      </c>
      <c r="B5" t="s">
        <v>37</v>
      </c>
      <c r="C5" t="s">
        <v>43</v>
      </c>
    </row>
    <row r="6" spans="1:3" x14ac:dyDescent="0.2">
      <c r="A6" t="s">
        <v>32</v>
      </c>
      <c r="B6" t="s">
        <v>38</v>
      </c>
      <c r="C6" t="s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A3A7-C2EB-314C-9779-0D75D860F986}">
  <sheetPr codeName="Sheet4"/>
  <dimension ref="A1:B6"/>
  <sheetViews>
    <sheetView zoomScale="230" zoomScaleNormal="230" workbookViewId="0">
      <selection sqref="A1:B6"/>
    </sheetView>
  </sheetViews>
  <sheetFormatPr baseColWidth="10" defaultRowHeight="15" x14ac:dyDescent="0.2"/>
  <cols>
    <col min="2" max="2" width="15.1640625" customWidth="1"/>
  </cols>
  <sheetData>
    <row r="1" spans="1:2" x14ac:dyDescent="0.2">
      <c r="A1" s="53" t="s">
        <v>172</v>
      </c>
      <c r="B1" s="53" t="s">
        <v>9</v>
      </c>
    </row>
    <row r="2" spans="1:2" x14ac:dyDescent="0.2">
      <c r="A2" t="s">
        <v>28</v>
      </c>
      <c r="B2" t="s">
        <v>45</v>
      </c>
    </row>
    <row r="3" spans="1:2" x14ac:dyDescent="0.2">
      <c r="A3" t="s">
        <v>29</v>
      </c>
      <c r="B3" t="s">
        <v>46</v>
      </c>
    </row>
    <row r="4" spans="1:2" x14ac:dyDescent="0.2">
      <c r="A4" t="s">
        <v>30</v>
      </c>
      <c r="B4" t="s">
        <v>47</v>
      </c>
    </row>
    <row r="5" spans="1:2" x14ac:dyDescent="0.2">
      <c r="A5" t="s">
        <v>31</v>
      </c>
      <c r="B5" t="s">
        <v>48</v>
      </c>
    </row>
    <row r="6" spans="1:2" x14ac:dyDescent="0.2">
      <c r="A6" t="s">
        <v>32</v>
      </c>
      <c r="B6" t="s">
        <v>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CDD9-12FB-314A-93E2-F3C5C19C3B72}">
  <sheetPr codeName="Sheet5"/>
  <dimension ref="A1:T7"/>
  <sheetViews>
    <sheetView tabSelected="1" zoomScale="94" zoomScaleNormal="94" workbookViewId="0">
      <pane xSplit="9" ySplit="1" topLeftCell="J2" activePane="bottomRight" state="frozen"/>
      <selection pane="topRight" activeCell="E1" sqref="E1"/>
      <selection pane="bottomLeft" activeCell="A2" sqref="A2"/>
      <selection pane="bottomRight" activeCell="C13" sqref="C13"/>
    </sheetView>
  </sheetViews>
  <sheetFormatPr baseColWidth="10" defaultColWidth="9.1640625" defaultRowHeight="15" x14ac:dyDescent="0.2"/>
  <cols>
    <col min="1" max="1" width="9.1640625" style="1"/>
    <col min="2" max="2" width="14.33203125" style="1" bestFit="1" customWidth="1"/>
    <col min="3" max="3" width="15.1640625" style="1" bestFit="1" customWidth="1"/>
    <col min="4" max="4" width="10.1640625" style="1" bestFit="1" customWidth="1"/>
    <col min="5" max="5" width="14.33203125" style="1" bestFit="1" customWidth="1"/>
    <col min="6" max="6" width="21" style="1" bestFit="1" customWidth="1"/>
    <col min="7" max="7" width="6.5" style="1" customWidth="1"/>
    <col min="8" max="8" width="17.5" style="1" customWidth="1"/>
    <col min="9" max="9" width="22.1640625" style="1" customWidth="1"/>
    <col min="10" max="10" width="5.33203125" style="1" bestFit="1" customWidth="1"/>
    <col min="11" max="11" width="7.6640625" style="1" bestFit="1" customWidth="1"/>
    <col min="12" max="12" width="4.6640625" style="1" bestFit="1" customWidth="1"/>
    <col min="13" max="13" width="27.6640625" style="1" customWidth="1"/>
    <col min="14" max="14" width="40.1640625" style="1" customWidth="1"/>
    <col min="15" max="15" width="6.6640625" style="1" customWidth="1"/>
    <col min="16" max="16" width="8.5" style="1" customWidth="1"/>
    <col min="17" max="17" width="7.5" style="1" customWidth="1"/>
    <col min="18" max="18" width="11.33203125" style="1" customWidth="1"/>
    <col min="19" max="19" width="12.6640625" style="1" customWidth="1"/>
    <col min="20" max="20" width="14.83203125" style="1" customWidth="1"/>
    <col min="21" max="16384" width="9.1640625" style="1"/>
  </cols>
  <sheetData>
    <row r="1" spans="1:20" ht="60" customHeight="1" thickBot="1" x14ac:dyDescent="0.25">
      <c r="A1" s="14" t="s">
        <v>13</v>
      </c>
      <c r="B1" s="15" t="s">
        <v>10</v>
      </c>
      <c r="C1" s="15" t="s">
        <v>20</v>
      </c>
      <c r="D1" s="15" t="s">
        <v>16</v>
      </c>
      <c r="E1" s="15" t="s">
        <v>17</v>
      </c>
      <c r="F1" s="15" t="s">
        <v>21</v>
      </c>
      <c r="G1" s="15" t="s">
        <v>14</v>
      </c>
      <c r="H1" s="15" t="s">
        <v>0</v>
      </c>
      <c r="I1" s="15" t="s">
        <v>12</v>
      </c>
      <c r="J1" s="56" t="s">
        <v>3</v>
      </c>
      <c r="K1" s="57"/>
      <c r="L1" s="57"/>
      <c r="M1" s="58"/>
      <c r="N1" s="16" t="s">
        <v>5</v>
      </c>
      <c r="O1" s="55" t="s">
        <v>4</v>
      </c>
      <c r="P1" s="55"/>
      <c r="Q1" s="55"/>
      <c r="R1" s="15" t="s">
        <v>19</v>
      </c>
      <c r="S1" s="15" t="s">
        <v>7</v>
      </c>
      <c r="T1" s="17" t="s">
        <v>18</v>
      </c>
    </row>
    <row r="2" spans="1:20" s="2" customFormat="1" ht="27" thickBot="1" x14ac:dyDescent="0.25">
      <c r="A2" s="18"/>
      <c r="B2" s="19"/>
      <c r="C2" s="19"/>
      <c r="D2" s="19"/>
      <c r="E2" s="19"/>
      <c r="F2" s="19"/>
      <c r="G2" s="19"/>
      <c r="H2" s="19"/>
      <c r="I2" s="19"/>
      <c r="J2" s="20" t="s">
        <v>8</v>
      </c>
      <c r="K2" s="20" t="s">
        <v>9</v>
      </c>
      <c r="L2" s="20" t="s">
        <v>22</v>
      </c>
      <c r="M2" s="20" t="s">
        <v>11</v>
      </c>
      <c r="N2" s="20" t="s">
        <v>15</v>
      </c>
      <c r="O2" s="20" t="s">
        <v>8</v>
      </c>
      <c r="P2" s="20" t="s">
        <v>9</v>
      </c>
      <c r="Q2" s="20" t="s">
        <v>22</v>
      </c>
      <c r="R2" s="19"/>
      <c r="S2" s="19"/>
      <c r="T2" s="21"/>
    </row>
    <row r="3" spans="1:20" s="3" customFormat="1" ht="40" customHeight="1" thickBot="1" x14ac:dyDescent="0.25">
      <c r="A3" s="49">
        <v>1</v>
      </c>
      <c r="B3" s="24" t="s">
        <v>81</v>
      </c>
      <c r="C3" s="24" t="s">
        <v>54</v>
      </c>
      <c r="D3" s="24" t="s">
        <v>59</v>
      </c>
      <c r="E3" s="24" t="s">
        <v>98</v>
      </c>
      <c r="F3" s="24" t="s">
        <v>97</v>
      </c>
      <c r="G3" s="24" t="s">
        <v>1</v>
      </c>
      <c r="H3" s="24" t="s">
        <v>83</v>
      </c>
      <c r="I3" s="25" t="s">
        <v>84</v>
      </c>
      <c r="J3" s="25">
        <v>4</v>
      </c>
      <c r="K3" s="25">
        <v>3</v>
      </c>
      <c r="L3" s="26">
        <f>J3*K3</f>
        <v>12</v>
      </c>
      <c r="M3" s="25" t="s">
        <v>85</v>
      </c>
      <c r="N3" s="25" t="s">
        <v>86</v>
      </c>
      <c r="O3" s="25" t="s">
        <v>86</v>
      </c>
      <c r="P3" s="25" t="s">
        <v>86</v>
      </c>
      <c r="Q3" s="25" t="s">
        <v>86</v>
      </c>
      <c r="R3" s="29" t="s">
        <v>90</v>
      </c>
      <c r="S3" s="25" t="s">
        <v>86</v>
      </c>
      <c r="T3" s="27" t="s">
        <v>92</v>
      </c>
    </row>
    <row r="4" spans="1:20" ht="76" thickBot="1" x14ac:dyDescent="0.25">
      <c r="A4" s="50">
        <v>2</v>
      </c>
      <c r="B4" s="28" t="s">
        <v>82</v>
      </c>
      <c r="C4" s="28" t="s">
        <v>55</v>
      </c>
      <c r="D4" s="28" t="s">
        <v>60</v>
      </c>
      <c r="E4" s="28" t="s">
        <v>99</v>
      </c>
      <c r="F4" s="28" t="s">
        <v>100</v>
      </c>
      <c r="G4" s="28" t="s">
        <v>1</v>
      </c>
      <c r="H4" s="28" t="s">
        <v>87</v>
      </c>
      <c r="I4" s="29" t="s">
        <v>88</v>
      </c>
      <c r="J4" s="29">
        <v>5</v>
      </c>
      <c r="K4" s="29">
        <v>2</v>
      </c>
      <c r="L4" s="26">
        <v>10</v>
      </c>
      <c r="M4" s="29" t="s">
        <v>89</v>
      </c>
      <c r="N4" s="29" t="s">
        <v>86</v>
      </c>
      <c r="O4" s="29" t="s">
        <v>86</v>
      </c>
      <c r="P4" s="29" t="s">
        <v>86</v>
      </c>
      <c r="Q4" s="29" t="s">
        <v>86</v>
      </c>
      <c r="R4" s="29" t="s">
        <v>90</v>
      </c>
      <c r="S4" s="29" t="s">
        <v>86</v>
      </c>
      <c r="T4" s="30" t="s">
        <v>91</v>
      </c>
    </row>
    <row r="5" spans="1:20" ht="46" thickBot="1" x14ac:dyDescent="0.25">
      <c r="A5" s="51">
        <v>3</v>
      </c>
      <c r="B5" s="24" t="s">
        <v>93</v>
      </c>
      <c r="C5" s="24" t="s">
        <v>95</v>
      </c>
      <c r="D5" s="24" t="s">
        <v>61</v>
      </c>
      <c r="E5" s="24" t="s">
        <v>96</v>
      </c>
      <c r="F5" s="24" t="s">
        <v>97</v>
      </c>
      <c r="G5" s="25" t="s">
        <v>2</v>
      </c>
      <c r="H5" s="25" t="s">
        <v>94</v>
      </c>
      <c r="I5" s="25" t="s">
        <v>101</v>
      </c>
      <c r="J5" s="25">
        <v>4</v>
      </c>
      <c r="K5" s="25">
        <v>3</v>
      </c>
      <c r="L5" s="26">
        <f t="shared" ref="L5" si="0">J5*K5</f>
        <v>12</v>
      </c>
      <c r="M5" s="25" t="s">
        <v>102</v>
      </c>
      <c r="N5" s="25" t="s">
        <v>86</v>
      </c>
      <c r="O5" s="25" t="s">
        <v>86</v>
      </c>
      <c r="P5" s="25" t="s">
        <v>86</v>
      </c>
      <c r="Q5" s="25" t="s">
        <v>86</v>
      </c>
      <c r="R5" s="24" t="s">
        <v>95</v>
      </c>
      <c r="S5" s="25" t="s">
        <v>86</v>
      </c>
      <c r="T5" s="27" t="s">
        <v>92</v>
      </c>
    </row>
    <row r="6" spans="1:20" ht="46" thickBot="1" x14ac:dyDescent="0.25">
      <c r="A6" s="31">
        <v>4</v>
      </c>
      <c r="B6" s="32" t="s">
        <v>52</v>
      </c>
      <c r="C6" s="33" t="s">
        <v>103</v>
      </c>
      <c r="D6" s="33" t="s">
        <v>104</v>
      </c>
      <c r="E6" s="33" t="s">
        <v>64</v>
      </c>
      <c r="F6" s="33" t="s">
        <v>105</v>
      </c>
      <c r="G6" s="23" t="s">
        <v>110</v>
      </c>
      <c r="H6" s="23" t="s">
        <v>106</v>
      </c>
      <c r="I6" s="23" t="s">
        <v>107</v>
      </c>
      <c r="J6" s="23">
        <v>5</v>
      </c>
      <c r="K6" s="23">
        <v>4</v>
      </c>
      <c r="L6" s="35">
        <f>J6*K6</f>
        <v>20</v>
      </c>
      <c r="M6" s="23" t="s">
        <v>108</v>
      </c>
      <c r="N6" s="23" t="s">
        <v>119</v>
      </c>
      <c r="O6" s="23">
        <v>5</v>
      </c>
      <c r="P6" s="23">
        <v>2</v>
      </c>
      <c r="Q6" s="22">
        <f xml:space="preserve"> O6*P6</f>
        <v>10</v>
      </c>
      <c r="R6" s="33" t="s">
        <v>103</v>
      </c>
      <c r="S6" s="23" t="s">
        <v>86</v>
      </c>
      <c r="T6" s="34" t="s">
        <v>109</v>
      </c>
    </row>
    <row r="7" spans="1:20" ht="76" thickBot="1" x14ac:dyDescent="0.25">
      <c r="A7" s="51">
        <v>5</v>
      </c>
      <c r="B7" s="24" t="s">
        <v>53</v>
      </c>
      <c r="C7" s="24" t="s">
        <v>103</v>
      </c>
      <c r="D7" s="24" t="s">
        <v>112</v>
      </c>
      <c r="E7" s="24" t="s">
        <v>64</v>
      </c>
      <c r="F7" s="24" t="s">
        <v>115</v>
      </c>
      <c r="G7" s="24" t="s">
        <v>1</v>
      </c>
      <c r="H7" s="24" t="s">
        <v>111</v>
      </c>
      <c r="I7" s="25" t="s">
        <v>114</v>
      </c>
      <c r="J7" s="25">
        <v>4</v>
      </c>
      <c r="K7" s="25">
        <v>3</v>
      </c>
      <c r="L7" s="36">
        <f>J7*K7</f>
        <v>12</v>
      </c>
      <c r="M7" s="25" t="s">
        <v>113</v>
      </c>
      <c r="N7" s="25" t="s">
        <v>120</v>
      </c>
      <c r="O7" s="25">
        <v>4</v>
      </c>
      <c r="P7" s="25">
        <v>2</v>
      </c>
      <c r="Q7" s="26">
        <f>O7*P7</f>
        <v>8</v>
      </c>
      <c r="R7" s="25" t="s">
        <v>103</v>
      </c>
      <c r="S7" s="25" t="s">
        <v>86</v>
      </c>
      <c r="T7" s="27" t="s">
        <v>92</v>
      </c>
    </row>
  </sheetData>
  <mergeCells count="2">
    <mergeCell ref="O1:Q1"/>
    <mergeCell ref="J1:M1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AF2E-279F-8A42-BA37-20302448AFB8}">
  <sheetPr codeName="Sheet6"/>
  <dimension ref="A1:G17"/>
  <sheetViews>
    <sheetView zoomScale="170" zoomScaleNormal="170" workbookViewId="0">
      <selection activeCell="G21" sqref="G21"/>
    </sheetView>
  </sheetViews>
  <sheetFormatPr baseColWidth="10" defaultColWidth="8.83203125" defaultRowHeight="15" x14ac:dyDescent="0.2"/>
  <cols>
    <col min="1" max="1" width="10.83203125" customWidth="1"/>
    <col min="2" max="2" width="11" bestFit="1" customWidth="1"/>
  </cols>
  <sheetData>
    <row r="1" spans="1:7" x14ac:dyDescent="0.2">
      <c r="C1" s="59" t="s">
        <v>73</v>
      </c>
      <c r="D1" s="59"/>
      <c r="E1" s="59"/>
      <c r="F1" s="59"/>
      <c r="G1" s="59"/>
    </row>
    <row r="2" spans="1:7" x14ac:dyDescent="0.2">
      <c r="B2" s="5"/>
      <c r="C2" s="5" t="s">
        <v>68</v>
      </c>
      <c r="D2" s="5" t="s">
        <v>69</v>
      </c>
      <c r="E2" s="5" t="s">
        <v>70</v>
      </c>
      <c r="F2" s="5" t="s">
        <v>71</v>
      </c>
      <c r="G2" s="5" t="s">
        <v>72</v>
      </c>
    </row>
    <row r="3" spans="1:7" x14ac:dyDescent="0.2">
      <c r="A3" s="60" t="s">
        <v>24</v>
      </c>
      <c r="B3" s="5" t="s">
        <v>65</v>
      </c>
      <c r="C3" s="6" t="s">
        <v>74</v>
      </c>
      <c r="D3" s="8" t="s">
        <v>77</v>
      </c>
      <c r="E3" s="9" t="s">
        <v>78</v>
      </c>
      <c r="F3" s="10" t="s">
        <v>79</v>
      </c>
      <c r="G3" s="10" t="s">
        <v>79</v>
      </c>
    </row>
    <row r="4" spans="1:7" x14ac:dyDescent="0.2">
      <c r="A4" s="60"/>
      <c r="B4" s="5" t="s">
        <v>66</v>
      </c>
      <c r="C4" s="7" t="s">
        <v>76</v>
      </c>
      <c r="D4" s="6" t="s">
        <v>74</v>
      </c>
      <c r="E4" s="8" t="s">
        <v>77</v>
      </c>
      <c r="F4" s="9" t="s">
        <v>78</v>
      </c>
      <c r="G4" s="10" t="s">
        <v>79</v>
      </c>
    </row>
    <row r="5" spans="1:7" x14ac:dyDescent="0.2">
      <c r="A5" s="60"/>
      <c r="B5" s="5" t="s">
        <v>47</v>
      </c>
      <c r="C5" s="7" t="s">
        <v>76</v>
      </c>
      <c r="D5" s="6" t="s">
        <v>74</v>
      </c>
      <c r="E5" s="8" t="s">
        <v>77</v>
      </c>
      <c r="F5" s="9" t="s">
        <v>78</v>
      </c>
      <c r="G5" s="9" t="s">
        <v>78</v>
      </c>
    </row>
    <row r="6" spans="1:7" x14ac:dyDescent="0.2">
      <c r="A6" s="60"/>
      <c r="B6" s="5" t="s">
        <v>48</v>
      </c>
      <c r="C6" s="7" t="s">
        <v>76</v>
      </c>
      <c r="D6" s="6" t="s">
        <v>74</v>
      </c>
      <c r="E6" s="6" t="s">
        <v>74</v>
      </c>
      <c r="F6" s="8" t="s">
        <v>77</v>
      </c>
      <c r="G6" s="9" t="s">
        <v>78</v>
      </c>
    </row>
    <row r="7" spans="1:7" x14ac:dyDescent="0.2">
      <c r="A7" s="60"/>
      <c r="B7" s="5" t="s">
        <v>67</v>
      </c>
      <c r="C7" s="7" t="s">
        <v>76</v>
      </c>
      <c r="D7" s="7" t="s">
        <v>75</v>
      </c>
      <c r="E7" s="6" t="s">
        <v>74</v>
      </c>
      <c r="F7" s="8" t="s">
        <v>77</v>
      </c>
      <c r="G7" s="8" t="s">
        <v>77</v>
      </c>
    </row>
    <row r="9" spans="1:7" x14ac:dyDescent="0.2">
      <c r="C9" s="59" t="s">
        <v>73</v>
      </c>
      <c r="D9" s="59"/>
      <c r="E9" s="59"/>
      <c r="F9" s="59"/>
      <c r="G9" s="59"/>
    </row>
    <row r="10" spans="1:7" x14ac:dyDescent="0.2">
      <c r="B10" s="5"/>
      <c r="C10" s="5">
        <v>1</v>
      </c>
      <c r="D10" s="5">
        <v>2</v>
      </c>
      <c r="E10" s="5">
        <v>3</v>
      </c>
      <c r="F10" s="5">
        <v>4</v>
      </c>
      <c r="G10" s="5">
        <v>5</v>
      </c>
    </row>
    <row r="11" spans="1:7" x14ac:dyDescent="0.2">
      <c r="A11" s="60" t="s">
        <v>24</v>
      </c>
      <c r="B11" s="5">
        <v>1</v>
      </c>
      <c r="C11" s="8">
        <f>C10*B11</f>
        <v>1</v>
      </c>
      <c r="D11" s="8">
        <f>D10*B11</f>
        <v>2</v>
      </c>
      <c r="E11" s="8">
        <f>E10*B11</f>
        <v>3</v>
      </c>
      <c r="F11" s="8">
        <f>F10*B11</f>
        <v>4</v>
      </c>
      <c r="G11" s="8">
        <f>G10*B11</f>
        <v>5</v>
      </c>
    </row>
    <row r="12" spans="1:7" x14ac:dyDescent="0.2">
      <c r="A12" s="60"/>
      <c r="B12" s="5">
        <v>2</v>
      </c>
      <c r="C12" s="8">
        <f>C10* B12</f>
        <v>2</v>
      </c>
      <c r="D12" s="8">
        <f>D10*B12</f>
        <v>4</v>
      </c>
      <c r="E12" s="8">
        <f>E10*B12</f>
        <v>6</v>
      </c>
      <c r="F12" s="8">
        <f>F10*B12</f>
        <v>8</v>
      </c>
      <c r="G12" s="8">
        <f>G10*B12</f>
        <v>10</v>
      </c>
    </row>
    <row r="13" spans="1:7" x14ac:dyDescent="0.2">
      <c r="A13" s="60"/>
      <c r="B13" s="5">
        <v>3</v>
      </c>
      <c r="C13" s="8">
        <f>C10*B13</f>
        <v>3</v>
      </c>
      <c r="D13" s="8">
        <f>D10*B13</f>
        <v>6</v>
      </c>
      <c r="E13" s="8">
        <f>E10*B13</f>
        <v>9</v>
      </c>
      <c r="F13" s="8">
        <f>F10*B13</f>
        <v>12</v>
      </c>
      <c r="G13" s="8">
        <f>G10*B13</f>
        <v>15</v>
      </c>
    </row>
    <row r="14" spans="1:7" x14ac:dyDescent="0.2">
      <c r="A14" s="60"/>
      <c r="B14" s="5">
        <v>4</v>
      </c>
      <c r="C14" s="8">
        <f>C10*B14</f>
        <v>4</v>
      </c>
      <c r="D14" s="8">
        <f>D10*B14</f>
        <v>8</v>
      </c>
      <c r="E14" s="8">
        <f>E10*B14</f>
        <v>12</v>
      </c>
      <c r="F14" s="10">
        <f>F10*B14</f>
        <v>16</v>
      </c>
      <c r="G14" s="10">
        <f>G10*B14</f>
        <v>20</v>
      </c>
    </row>
    <row r="15" spans="1:7" x14ac:dyDescent="0.2">
      <c r="A15" s="60"/>
      <c r="B15" s="5">
        <v>5</v>
      </c>
      <c r="C15" s="8">
        <f>C10*B15</f>
        <v>5</v>
      </c>
      <c r="D15" s="8">
        <f>D10*B15</f>
        <v>10</v>
      </c>
      <c r="E15" s="8">
        <f>E10*B15</f>
        <v>15</v>
      </c>
      <c r="F15" s="10">
        <f>F10*B15</f>
        <v>20</v>
      </c>
      <c r="G15" s="10">
        <f>G10*B15</f>
        <v>25</v>
      </c>
    </row>
    <row r="17" spans="1:2" ht="32" x14ac:dyDescent="0.2">
      <c r="A17" s="12" t="s">
        <v>80</v>
      </c>
      <c r="B17" s="13">
        <v>15</v>
      </c>
    </row>
  </sheetData>
  <mergeCells count="4">
    <mergeCell ref="C1:G1"/>
    <mergeCell ref="A3:A7"/>
    <mergeCell ref="C9:G9"/>
    <mergeCell ref="A11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Process Matrix</vt:lpstr>
      <vt:lpstr>Information Asset Register</vt:lpstr>
      <vt:lpstr>Impact Analysis</vt:lpstr>
      <vt:lpstr>Likelihood</vt:lpstr>
      <vt:lpstr>Information Risk Register</vt:lpstr>
      <vt:lpstr>Risk Key</vt:lpstr>
    </vt:vector>
  </TitlesOfParts>
  <Company>Sheffield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Mark (CEX)</dc:creator>
  <cp:lastModifiedBy>Abamu, Daniella</cp:lastModifiedBy>
  <dcterms:created xsi:type="dcterms:W3CDTF">2014-01-04T23:48:19Z</dcterms:created>
  <dcterms:modified xsi:type="dcterms:W3CDTF">2025-05-21T09:24:24Z</dcterms:modified>
</cp:coreProperties>
</file>